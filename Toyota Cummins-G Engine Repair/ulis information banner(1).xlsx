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sed Academic Transcript " sheetId="1" r:id="rId5"/>
  </sheets>
  <definedNames/>
  <calcPr/>
</workbook>
</file>

<file path=xl/sharedStrings.xml><?xml version="1.0" encoding="utf-8"?>
<sst xmlns="http://schemas.openxmlformats.org/spreadsheetml/2006/main" count="137" uniqueCount="86">
  <si>
    <t>Virginia Tech Information System // BANNER</t>
  </si>
  <si>
    <t xml:space="preserve">Subject Title </t>
  </si>
  <si>
    <t xml:space="preserve">Dept. No. </t>
  </si>
  <si>
    <t xml:space="preserve">Hrs. </t>
  </si>
  <si>
    <t>Gr.</t>
  </si>
  <si>
    <t xml:space="preserve">Qual. Cr. </t>
  </si>
  <si>
    <t>General Chemistry</t>
  </si>
  <si>
    <t>CHEM 1035</t>
  </si>
  <si>
    <t>W</t>
  </si>
  <si>
    <t>Consumer Rights</t>
  </si>
  <si>
    <t>AHRM 2404</t>
  </si>
  <si>
    <t>A</t>
  </si>
  <si>
    <t>General Chemistry Lab</t>
  </si>
  <si>
    <t>CHEM 1045</t>
  </si>
  <si>
    <t>B+</t>
  </si>
  <si>
    <t>Intro to Unix for Engineers</t>
  </si>
  <si>
    <t>ECE 2524</t>
  </si>
  <si>
    <t>C+</t>
  </si>
  <si>
    <t>Foundations of Engineering</t>
  </si>
  <si>
    <t>ENGE 1215</t>
  </si>
  <si>
    <t>B-</t>
  </si>
  <si>
    <t xml:space="preserve">Digital Design I </t>
  </si>
  <si>
    <t>ECE 3544</t>
  </si>
  <si>
    <t>Intro to Spatial Visualization</t>
  </si>
  <si>
    <t>ENGE 1354</t>
  </si>
  <si>
    <t>Prob &amp; Stat for EE</t>
  </si>
  <si>
    <t>STAT 4714</t>
  </si>
  <si>
    <t>First-Year Writing</t>
  </si>
  <si>
    <t>ENGL 1105</t>
  </si>
  <si>
    <t>World Regions</t>
  </si>
  <si>
    <t>GEOG 1014</t>
  </si>
  <si>
    <t>TERM GPA</t>
  </si>
  <si>
    <t>Calculus of a Single Variable</t>
  </si>
  <si>
    <t>MATH 1225</t>
  </si>
  <si>
    <t>A-</t>
  </si>
  <si>
    <t>CUMULATIVE GPA</t>
  </si>
  <si>
    <t>ENGE 1216</t>
  </si>
  <si>
    <t>B</t>
  </si>
  <si>
    <t>Computer Org &amp; Architecture</t>
  </si>
  <si>
    <t>ECE 2500</t>
  </si>
  <si>
    <t>Introduction to Short Fiction</t>
  </si>
  <si>
    <t>ENGL 1614</t>
  </si>
  <si>
    <t xml:space="preserve">Signals &amp; Systems </t>
  </si>
  <si>
    <t>ECE 2704</t>
  </si>
  <si>
    <t>MATH 1226</t>
  </si>
  <si>
    <t xml:space="preserve">Network Application Design </t>
  </si>
  <si>
    <t>ECE 4564</t>
  </si>
  <si>
    <t>Introduction to Linear Algebra</t>
  </si>
  <si>
    <t>MATH 2114</t>
  </si>
  <si>
    <t>Undergraduate Research</t>
  </si>
  <si>
    <t>ECE 4994</t>
  </si>
  <si>
    <t xml:space="preserve">Foundations of Physics I </t>
  </si>
  <si>
    <t>PHYS 2305</t>
  </si>
  <si>
    <t>C</t>
  </si>
  <si>
    <t>Engr Problem Solving with C++</t>
  </si>
  <si>
    <t>ECE 1574</t>
  </si>
  <si>
    <t>Electric Circuit Analysis</t>
  </si>
  <si>
    <t>ECE 2004</t>
  </si>
  <si>
    <t>Principles Computer Security</t>
  </si>
  <si>
    <t>CS 4264</t>
  </si>
  <si>
    <t xml:space="preserve">Intro Multivariable Calculus </t>
  </si>
  <si>
    <t>MATH 2204</t>
  </si>
  <si>
    <t>Semiconductor Device Fund</t>
  </si>
  <si>
    <t>ECE 3214</t>
  </si>
  <si>
    <t xml:space="preserve">Intro Diff Equations </t>
  </si>
  <si>
    <t>MATH 2214</t>
  </si>
  <si>
    <t>Comp and Network Security Fund</t>
  </si>
  <si>
    <t>ECE 4560</t>
  </si>
  <si>
    <t xml:space="preserve">Electronics </t>
  </si>
  <si>
    <t>ECE 2204</t>
  </si>
  <si>
    <t xml:space="preserve">B+ </t>
  </si>
  <si>
    <t xml:space="preserve">Electronic Networks Lab I </t>
  </si>
  <si>
    <t>ECE 2274</t>
  </si>
  <si>
    <t>Microcontroller Interfacing</t>
  </si>
  <si>
    <t>ECE 2534</t>
  </si>
  <si>
    <t>Introduction to Biology</t>
  </si>
  <si>
    <t>BIOL 1004</t>
  </si>
  <si>
    <t>Creativity and the Aesthetic Exp</t>
  </si>
  <si>
    <t>FA 2004</t>
  </si>
  <si>
    <t xml:space="preserve">Embedded System Design </t>
  </si>
  <si>
    <t>ECE 4534</t>
  </si>
  <si>
    <t>Technical Writing</t>
  </si>
  <si>
    <t>ECE 3764</t>
  </si>
  <si>
    <t xml:space="preserve">Engineering Economy </t>
  </si>
  <si>
    <t>ISE 2014</t>
  </si>
  <si>
    <t>OVERALL GPA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</si>
</sst>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783F04"/>
        <bgColor rgb="FF783F04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readingOrder="0"/>
    </xf>
    <xf borderId="0" fillId="3" fontId="1" numFmtId="0" xfId="0" applyFill="1" applyFont="1"/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75"/>
    <col customWidth="1" min="8" max="8" width="28.5"/>
  </cols>
  <sheetData>
    <row r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H3" s="4" t="s">
        <v>1</v>
      </c>
      <c r="I3" s="4" t="s">
        <v>2</v>
      </c>
      <c r="J3" s="4" t="s">
        <v>3</v>
      </c>
      <c r="K3" s="4" t="s">
        <v>4</v>
      </c>
      <c r="L3" s="4" t="s">
        <v>5</v>
      </c>
    </row>
    <row r="4">
      <c r="A4" s="4" t="s">
        <v>6</v>
      </c>
      <c r="B4" s="4" t="s">
        <v>7</v>
      </c>
      <c r="C4" s="4">
        <v>3.0</v>
      </c>
      <c r="D4" s="4" t="s">
        <v>8</v>
      </c>
      <c r="E4" s="4">
        <v>0.0</v>
      </c>
      <c r="H4" s="4" t="s">
        <v>9</v>
      </c>
      <c r="I4" s="4" t="s">
        <v>10</v>
      </c>
      <c r="J4" s="4">
        <v>3.0</v>
      </c>
      <c r="K4" s="4" t="s">
        <v>11</v>
      </c>
      <c r="L4" s="4">
        <v>12.0</v>
      </c>
    </row>
    <row r="5">
      <c r="A5" s="4" t="s">
        <v>12</v>
      </c>
      <c r="B5" s="4" t="s">
        <v>13</v>
      </c>
      <c r="C5" s="4">
        <v>1.0</v>
      </c>
      <c r="D5" s="4" t="s">
        <v>14</v>
      </c>
      <c r="E5" s="4">
        <v>3.3</v>
      </c>
      <c r="H5" s="4" t="s">
        <v>15</v>
      </c>
      <c r="I5" s="4" t="s">
        <v>16</v>
      </c>
      <c r="J5" s="4">
        <v>2.0</v>
      </c>
      <c r="K5" s="4" t="s">
        <v>17</v>
      </c>
      <c r="L5" s="4">
        <v>4.6</v>
      </c>
    </row>
    <row r="6">
      <c r="A6" s="4" t="s">
        <v>18</v>
      </c>
      <c r="B6" s="4" t="s">
        <v>19</v>
      </c>
      <c r="C6" s="4">
        <v>2.0</v>
      </c>
      <c r="D6" s="4" t="s">
        <v>20</v>
      </c>
      <c r="E6" s="4">
        <v>5.4</v>
      </c>
      <c r="H6" s="4" t="s">
        <v>21</v>
      </c>
      <c r="I6" s="4" t="s">
        <v>22</v>
      </c>
      <c r="J6" s="4">
        <v>4.0</v>
      </c>
      <c r="K6" s="4" t="s">
        <v>20</v>
      </c>
      <c r="L6" s="4">
        <v>10.8</v>
      </c>
    </row>
    <row r="7">
      <c r="A7" s="4" t="s">
        <v>23</v>
      </c>
      <c r="B7" s="4" t="s">
        <v>24</v>
      </c>
      <c r="C7" s="4">
        <v>1.0</v>
      </c>
      <c r="D7" s="4" t="s">
        <v>17</v>
      </c>
      <c r="E7" s="4">
        <v>2.3</v>
      </c>
      <c r="H7" s="4" t="s">
        <v>25</v>
      </c>
      <c r="I7" s="4" t="s">
        <v>26</v>
      </c>
      <c r="J7" s="4">
        <v>3.0</v>
      </c>
      <c r="K7" s="4" t="s">
        <v>20</v>
      </c>
      <c r="L7" s="4">
        <v>8.1</v>
      </c>
    </row>
    <row r="8">
      <c r="A8" s="4" t="s">
        <v>27</v>
      </c>
      <c r="B8" s="4" t="s">
        <v>28</v>
      </c>
      <c r="C8" s="4">
        <v>3.0</v>
      </c>
      <c r="D8" s="4" t="s">
        <v>20</v>
      </c>
      <c r="E8" s="4">
        <v>8.1</v>
      </c>
    </row>
    <row r="9">
      <c r="A9" s="4" t="s">
        <v>29</v>
      </c>
      <c r="B9" s="4" t="s">
        <v>30</v>
      </c>
      <c r="C9" s="4">
        <v>3.0</v>
      </c>
      <c r="D9" s="4" t="s">
        <v>11</v>
      </c>
      <c r="E9" s="4">
        <v>3.0</v>
      </c>
      <c r="H9" s="4" t="s">
        <v>31</v>
      </c>
      <c r="I9" s="5">
        <f> SUM(L4:L7)/SUM(J4:J7)</f>
        <v>2.958333333</v>
      </c>
    </row>
    <row r="10">
      <c r="A10" s="4" t="s">
        <v>32</v>
      </c>
      <c r="B10" s="4" t="s">
        <v>33</v>
      </c>
      <c r="C10" s="4">
        <v>4.0</v>
      </c>
      <c r="D10" s="4" t="s">
        <v>34</v>
      </c>
      <c r="E10" s="4">
        <v>14.8</v>
      </c>
      <c r="H10" s="4" t="s">
        <v>35</v>
      </c>
      <c r="I10" s="5" t="str">
        <f> = SUM(SUM(E15:E35)/SUM(C15:C35) + SUM(C4:C35)/(E4:E35))/2</f>
        <v>#ERROR!</v>
      </c>
    </row>
    <row r="11">
      <c r="I11" s="4" t="e">
        <v>#VALUE!</v>
      </c>
    </row>
    <row r="12">
      <c r="A12" s="4" t="s">
        <v>31</v>
      </c>
      <c r="B12" s="5">
        <f t="shared" ref="B12:B13" si="1">(SUM(E4:E10)/SUM(C4:C10))</f>
        <v>2.170588235</v>
      </c>
    </row>
    <row r="13">
      <c r="A13" s="4" t="s">
        <v>35</v>
      </c>
      <c r="B13" s="5">
        <f t="shared" si="1"/>
        <v>2.635714286</v>
      </c>
    </row>
    <row r="15">
      <c r="A15" s="4" t="s">
        <v>18</v>
      </c>
      <c r="B15" s="4" t="s">
        <v>36</v>
      </c>
      <c r="C15" s="4">
        <v>2.0</v>
      </c>
      <c r="D15" s="4" t="s">
        <v>37</v>
      </c>
      <c r="E15" s="4">
        <v>6.0</v>
      </c>
      <c r="H15" s="4" t="s">
        <v>38</v>
      </c>
      <c r="I15" s="4" t="s">
        <v>39</v>
      </c>
      <c r="J15" s="4">
        <v>3.0</v>
      </c>
      <c r="K15" s="4" t="s">
        <v>11</v>
      </c>
      <c r="L15" s="4">
        <v>12.0</v>
      </c>
    </row>
    <row r="16">
      <c r="A16" s="4" t="s">
        <v>40</v>
      </c>
      <c r="B16" s="4" t="s">
        <v>41</v>
      </c>
      <c r="C16" s="4">
        <v>3.0</v>
      </c>
      <c r="D16" s="4" t="s">
        <v>20</v>
      </c>
      <c r="E16" s="4">
        <v>8.1</v>
      </c>
      <c r="H16" s="4" t="s">
        <v>42</v>
      </c>
      <c r="I16" s="4" t="s">
        <v>43</v>
      </c>
      <c r="J16" s="4">
        <v>3.0</v>
      </c>
      <c r="K16" s="4" t="s">
        <v>11</v>
      </c>
      <c r="L16" s="4">
        <v>12.0</v>
      </c>
    </row>
    <row r="17">
      <c r="A17" s="4" t="s">
        <v>32</v>
      </c>
      <c r="B17" s="4" t="s">
        <v>44</v>
      </c>
      <c r="C17" s="4">
        <v>4.0</v>
      </c>
      <c r="D17" s="4" t="s">
        <v>17</v>
      </c>
      <c r="E17" s="4">
        <v>9.2</v>
      </c>
      <c r="H17" s="4" t="s">
        <v>45</v>
      </c>
      <c r="I17" s="4" t="s">
        <v>46</v>
      </c>
      <c r="J17" s="4">
        <v>3.0</v>
      </c>
      <c r="K17" s="4" t="s">
        <v>11</v>
      </c>
      <c r="L17" s="4">
        <v>12.0</v>
      </c>
    </row>
    <row r="18">
      <c r="A18" s="4" t="s">
        <v>47</v>
      </c>
      <c r="B18" s="4" t="s">
        <v>48</v>
      </c>
      <c r="C18" s="4">
        <v>3.0</v>
      </c>
      <c r="D18" s="4" t="s">
        <v>17</v>
      </c>
      <c r="E18" s="4">
        <v>6.9</v>
      </c>
      <c r="H18" s="4" t="s">
        <v>49</v>
      </c>
      <c r="I18" s="4" t="s">
        <v>50</v>
      </c>
      <c r="J18" s="4">
        <v>3.0</v>
      </c>
      <c r="K18" s="4" t="s">
        <v>11</v>
      </c>
      <c r="L18" s="4">
        <v>12.0</v>
      </c>
    </row>
    <row r="19">
      <c r="A19" s="4" t="s">
        <v>51</v>
      </c>
      <c r="B19" s="4" t="s">
        <v>52</v>
      </c>
      <c r="C19" s="4">
        <v>4.0</v>
      </c>
      <c r="D19" s="4" t="s">
        <v>53</v>
      </c>
      <c r="E19" s="4">
        <v>8.0</v>
      </c>
    </row>
    <row r="20">
      <c r="H20" s="4" t="s">
        <v>31</v>
      </c>
      <c r="I20" s="5">
        <f> SUM(L15:L18)/SUM(J15:J18)</f>
        <v>4</v>
      </c>
    </row>
    <row r="21">
      <c r="A21" s="4" t="s">
        <v>31</v>
      </c>
      <c r="B21" s="5">
        <f>(SUM(E15:E19)/SUM(C15:C19))</f>
        <v>2.3875</v>
      </c>
      <c r="H21" s="4" t="s">
        <v>35</v>
      </c>
      <c r="I21" s="5" t="str">
        <f> = SUM(SUM(E15:E35)/SUM(C15:C35) + SUM(C4:C35)/(E4:E35))/2</f>
        <v>#ERROR!</v>
      </c>
    </row>
    <row r="22">
      <c r="A22" s="4" t="s">
        <v>35</v>
      </c>
      <c r="B22" s="5" t="str">
        <f> (SUM(E15:E19)/SUM(C15:C19) + SUM(C4:C10)/(E4:E10))/2</f>
        <v>#VALUE!</v>
      </c>
      <c r="I22" s="4" t="e">
        <v>#VALUE!</v>
      </c>
    </row>
    <row r="24">
      <c r="A24" s="4" t="s">
        <v>54</v>
      </c>
      <c r="B24" s="4" t="s">
        <v>55</v>
      </c>
      <c r="C24" s="4">
        <v>3.0</v>
      </c>
      <c r="D24" s="4" t="s">
        <v>11</v>
      </c>
      <c r="E24" s="4">
        <v>12.0</v>
      </c>
    </row>
    <row r="25">
      <c r="A25" s="4" t="s">
        <v>56</v>
      </c>
      <c r="B25" s="4" t="s">
        <v>57</v>
      </c>
      <c r="C25" s="4">
        <v>3.0</v>
      </c>
      <c r="D25" s="4" t="s">
        <v>53</v>
      </c>
      <c r="E25" s="4">
        <v>6.0</v>
      </c>
      <c r="H25" s="4" t="s">
        <v>58</v>
      </c>
      <c r="I25" s="4" t="s">
        <v>59</v>
      </c>
      <c r="J25" s="4">
        <v>3.0</v>
      </c>
      <c r="K25" s="4" t="s">
        <v>11</v>
      </c>
      <c r="L25" s="4">
        <v>12.0</v>
      </c>
    </row>
    <row r="26">
      <c r="A26" s="4" t="s">
        <v>60</v>
      </c>
      <c r="B26" s="4" t="s">
        <v>61</v>
      </c>
      <c r="C26" s="4">
        <v>3.0</v>
      </c>
      <c r="D26" s="4" t="s">
        <v>17</v>
      </c>
      <c r="E26" s="4">
        <v>6.9</v>
      </c>
      <c r="H26" s="4" t="s">
        <v>62</v>
      </c>
      <c r="I26" s="4" t="s">
        <v>63</v>
      </c>
      <c r="J26" s="4">
        <v>3.0</v>
      </c>
      <c r="K26" s="4" t="s">
        <v>14</v>
      </c>
      <c r="L26" s="4">
        <v>9.9</v>
      </c>
    </row>
    <row r="27">
      <c r="A27" s="4" t="s">
        <v>64</v>
      </c>
      <c r="B27" s="4" t="s">
        <v>65</v>
      </c>
      <c r="C27" s="4">
        <v>3.0</v>
      </c>
      <c r="D27" s="4" t="s">
        <v>37</v>
      </c>
      <c r="E27" s="4">
        <v>9.0</v>
      </c>
      <c r="H27" s="4" t="s">
        <v>66</v>
      </c>
      <c r="I27" s="4" t="s">
        <v>67</v>
      </c>
      <c r="J27" s="4">
        <v>3.0</v>
      </c>
      <c r="K27" s="4" t="s">
        <v>11</v>
      </c>
      <c r="L27" s="4">
        <v>12.0</v>
      </c>
    </row>
    <row r="28">
      <c r="H28" s="4" t="s">
        <v>49</v>
      </c>
      <c r="I28" s="4" t="s">
        <v>50</v>
      </c>
      <c r="J28" s="4">
        <v>3.0</v>
      </c>
      <c r="K28" s="4" t="s">
        <v>11</v>
      </c>
      <c r="L28" s="4">
        <v>12.0</v>
      </c>
    </row>
    <row r="29">
      <c r="A29" s="4" t="s">
        <v>31</v>
      </c>
      <c r="B29" s="5">
        <f>(SUM(E24:E27)/SUM(C24:C27))</f>
        <v>2.825</v>
      </c>
    </row>
    <row r="30">
      <c r="A30" s="4" t="s">
        <v>35</v>
      </c>
      <c r="B30" s="5" t="str">
        <f> SUM(SUM(E15:E27)/SUM(C15:C27) + SUM(C4:C10)/(E4:E10))/2</f>
        <v>#VALUE!</v>
      </c>
      <c r="H30" s="4" t="s">
        <v>31</v>
      </c>
      <c r="I30" s="5">
        <f>(SUM(L25:L28)/SUM(J25:J28))</f>
        <v>3.825</v>
      </c>
    </row>
    <row r="31">
      <c r="H31" s="4" t="s">
        <v>35</v>
      </c>
      <c r="I31" s="5" t="str">
        <f> = SUM(SUM(E15:E35)/SUM(C15:C35) + SUM(C4:C35)/(E4:E35))/2</f>
        <v>#ERROR!</v>
      </c>
    </row>
    <row r="32">
      <c r="A32" s="4" t="s">
        <v>68</v>
      </c>
      <c r="B32" s="4" t="s">
        <v>69</v>
      </c>
      <c r="C32" s="4">
        <v>3.0</v>
      </c>
      <c r="D32" s="4" t="s">
        <v>70</v>
      </c>
      <c r="E32" s="4">
        <v>9.9</v>
      </c>
      <c r="I32" s="4" t="e">
        <v>#VALUE!</v>
      </c>
    </row>
    <row r="33">
      <c r="A33" s="4" t="s">
        <v>71</v>
      </c>
      <c r="B33" s="4" t="s">
        <v>72</v>
      </c>
      <c r="C33" s="4">
        <v>1.0</v>
      </c>
      <c r="D33" s="4" t="s">
        <v>37</v>
      </c>
      <c r="E33" s="4">
        <v>3.0</v>
      </c>
    </row>
    <row r="34">
      <c r="A34" s="4" t="s">
        <v>73</v>
      </c>
      <c r="B34" s="4" t="s">
        <v>74</v>
      </c>
      <c r="C34" s="4">
        <v>4.0</v>
      </c>
      <c r="D34" s="4" t="s">
        <v>53</v>
      </c>
      <c r="E34" s="4">
        <v>8.0</v>
      </c>
      <c r="H34" s="4" t="s">
        <v>75</v>
      </c>
      <c r="I34" s="4" t="s">
        <v>76</v>
      </c>
      <c r="J34" s="4">
        <v>3.0</v>
      </c>
      <c r="K34" s="4" t="s">
        <v>20</v>
      </c>
      <c r="L34" s="4">
        <v>8.1</v>
      </c>
    </row>
    <row r="35">
      <c r="A35" s="4" t="s">
        <v>77</v>
      </c>
      <c r="B35" s="4" t="s">
        <v>78</v>
      </c>
      <c r="C35" s="4">
        <v>1.0</v>
      </c>
      <c r="D35" s="4" t="s">
        <v>11</v>
      </c>
      <c r="E35" s="4">
        <v>1.0</v>
      </c>
      <c r="H35" s="4" t="s">
        <v>79</v>
      </c>
      <c r="I35" s="4" t="s">
        <v>80</v>
      </c>
      <c r="J35" s="4">
        <v>4.0</v>
      </c>
      <c r="K35" s="4" t="s">
        <v>11</v>
      </c>
      <c r="L35" s="4">
        <v>16.0</v>
      </c>
    </row>
    <row r="36">
      <c r="H36" s="4" t="s">
        <v>81</v>
      </c>
      <c r="I36" s="4" t="s">
        <v>82</v>
      </c>
      <c r="J36" s="4">
        <v>3.0</v>
      </c>
      <c r="K36" s="4" t="s">
        <v>34</v>
      </c>
      <c r="L36" s="4">
        <v>11.1</v>
      </c>
    </row>
    <row r="37">
      <c r="A37" s="4" t="s">
        <v>31</v>
      </c>
      <c r="B37" s="5">
        <f> SUM(C32:E35)/SUM(C32:C35)</f>
        <v>3.433333333</v>
      </c>
      <c r="H37" s="4" t="s">
        <v>83</v>
      </c>
      <c r="I37" s="4" t="s">
        <v>84</v>
      </c>
      <c r="J37" s="4">
        <v>2.0</v>
      </c>
      <c r="K37" s="4" t="s">
        <v>37</v>
      </c>
      <c r="L37" s="4">
        <v>6.0</v>
      </c>
    </row>
    <row r="38">
      <c r="A38" s="4" t="s">
        <v>35</v>
      </c>
      <c r="B38" s="5" t="str">
        <f> = SUM(SUM(E15:E35)/SUM(C15:C35) + SUM(C4:C35)/(E4:E35))/2</f>
        <v>#ERROR!</v>
      </c>
    </row>
    <row r="39">
      <c r="B39" s="4" t="e">
        <v>#VALUE!</v>
      </c>
      <c r="H39" s="4" t="s">
        <v>31</v>
      </c>
      <c r="I39" s="5">
        <f>(SUM(L34:L37)/SUM(J34:J37))</f>
        <v>3.433333333</v>
      </c>
    </row>
    <row r="40">
      <c r="H40" s="4" t="s">
        <v>35</v>
      </c>
      <c r="I40" s="5" t="str">
        <f> = SUM(SUM(E15:E35)/SUM(C15:C35) + SUM(C4:C35)/(E4:E35))/2</f>
        <v>#ERROR!</v>
      </c>
    </row>
    <row r="41">
      <c r="I41" s="4" t="e">
        <v>#VALUE!</v>
      </c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4">
      <c r="H44" s="4" t="s">
        <v>85</v>
      </c>
      <c r="I44" s="4">
        <v>3.458600315</v>
      </c>
    </row>
    <row r="45">
      <c r="H45" s="4" t="s">
        <v>35</v>
      </c>
      <c r="I45" s="4">
        <v>2.86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